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PROJETOS" sheetId="2" state="visible" r:id="rId2"/>
    <sheet xmlns:r="http://schemas.openxmlformats.org/officeDocument/2006/relationships" name="HORAS_TIME" sheetId="3" state="visible" r:id="rId3"/>
    <sheet xmlns:r="http://schemas.openxmlformats.org/officeDocument/2006/relationships" name="CONSULT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AAAA"/>
    <numFmt numFmtId="165" formatCode="0.0"/>
    <numFmt numFmtId="166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666666"/>
      <sz val="9"/>
    </font>
    <font>
      <name val="Calibri"/>
      <b val="1"/>
      <color rgb="002D2D2D"/>
      <sz val="10"/>
    </font>
    <font>
      <name val="Calibri"/>
      <color rgb="000000FF"/>
      <sz val="10"/>
    </font>
    <font>
      <name val="Calibri"/>
      <i val="1"/>
      <color rgb="00888888"/>
      <sz val="9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343748"/>
      </patternFill>
    </fill>
    <fill>
      <patternFill patternType="solid">
        <fgColor rgb="00E7EBEE"/>
      </patternFill>
    </fill>
    <fill>
      <patternFill patternType="solid">
        <fgColor rgb="002C3799"/>
      </patternFill>
    </fill>
    <fill>
      <patternFill patternType="solid">
        <fgColor rgb="00A32D2D"/>
      </patternFill>
    </fill>
    <fill>
      <patternFill patternType="solid">
        <fgColor rgb="00C0392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vertical="center"/>
    </xf>
    <xf numFmtId="1" fontId="4" fillId="0" borderId="1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165" fontId="9" fillId="0" borderId="1" applyAlignment="1" pivotButton="0" quotePrefix="0" xfId="0">
      <alignment horizontal="right" vertical="center"/>
    </xf>
    <xf numFmtId="0" fontId="3" fillId="3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5" fillId="0" borderId="0" pivotButton="0" quotePrefix="0" xfId="0"/>
    <xf numFmtId="2" fontId="4" fillId="0" borderId="1" applyAlignment="1" pivotButton="0" quotePrefix="0" xfId="0">
      <alignment horizontal="right" vertical="center"/>
    </xf>
    <xf numFmtId="166" fontId="9" fillId="0" borderId="1" applyAlignment="1" pivotButton="0" quotePrefix="0" xfId="0">
      <alignment horizontal="right" vertical="center"/>
    </xf>
    <xf numFmtId="0" fontId="8" fillId="2" borderId="1" applyAlignment="1" pivotButton="0" quotePrefix="0" xfId="0">
      <alignment vertical="center"/>
    </xf>
    <xf numFmtId="2" fontId="10" fillId="2" borderId="1" applyAlignment="1" pivotButton="0" quotePrefix="0" xfId="0">
      <alignment horizontal="right" vertical="center"/>
    </xf>
    <xf numFmtId="166" fontId="10" fillId="2" borderId="1" pivotButton="0" quotePrefix="0" xfId="0"/>
    <xf numFmtId="0" fontId="0" fillId="0" borderId="1" pivotButton="0" quotePrefix="0" xfId="0"/>
    <xf numFmtId="0" fontId="8" fillId="5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2" fontId="9" fillId="0" borderId="1" applyAlignment="1" pivotButton="0" quotePrefix="0" xfId="0">
      <alignment horizontal="right" vertical="center"/>
    </xf>
    <xf numFmtId="1" fontId="9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50" customWidth="1" min="3" max="3"/>
  </cols>
  <sheetData>
    <row r="1" ht="30" customHeight="1">
      <c r="A1" s="1" t="inlineStr">
        <is>
          <t>ANÁLISE MENSAL — CONFIGURAÇÃO</t>
        </is>
      </c>
    </row>
    <row r="2" ht="18" customHeight="1">
      <c r="A2" s="2" t="inlineStr">
        <is>
          <t>Preencha esta aba antes de qualquer outra. O Mês/Ano define a chave de importação no dashboard.</t>
        </is>
      </c>
    </row>
    <row r="4" ht="20" customHeight="1">
      <c r="A4" s="3" t="inlineStr">
        <is>
          <t>Mês de referência</t>
        </is>
      </c>
      <c r="B4" s="4" t="inlineStr">
        <is>
          <t>Mai</t>
        </is>
      </c>
      <c r="C4" s="5" t="inlineStr">
        <is>
          <t>Abreviação: Jan Fev Mar Abr Mai Jun Jul Ago Set Out Nov Dez</t>
        </is>
      </c>
    </row>
    <row r="5" ht="20" customHeight="1">
      <c r="A5" s="3" t="inlineStr">
        <is>
          <t>Ano</t>
        </is>
      </c>
      <c r="B5" s="4" t="n">
        <v>2026</v>
      </c>
      <c r="C5" s="5" t="inlineStr">
        <is>
          <t>Ex: 2026</t>
        </is>
      </c>
    </row>
    <row r="6" ht="20" customHeight="1">
      <c r="A6" s="3" t="inlineStr">
        <is>
          <t>Fonte — Projetos</t>
        </is>
      </c>
      <c r="B6" s="4" t="inlineStr">
        <is>
          <t>Hydra / CPJ-3C</t>
        </is>
      </c>
      <c r="C6" s="5" t="inlineStr">
        <is>
          <t>Sistema de origem dos dados de projetos</t>
        </is>
      </c>
    </row>
    <row r="7" ht="20" customHeight="1">
      <c r="A7" s="3" t="inlineStr">
        <is>
          <t>Fonte — Horas Time</t>
        </is>
      </c>
      <c r="B7" s="4" t="inlineStr">
        <is>
          <t>Hydra / Todas categorias</t>
        </is>
      </c>
      <c r="C7" s="5" t="inlineStr">
        <is>
          <t>Sistema de origem das horas do time</t>
        </is>
      </c>
    </row>
    <row r="8" ht="20" customHeight="1">
      <c r="A8" s="3" t="inlineStr">
        <is>
          <t>Fonte — Consultoria</t>
        </is>
      </c>
      <c r="B8" s="4" t="inlineStr">
        <is>
          <t>Hydra / Categoria CONSULTORIA + CPJ-3C</t>
        </is>
      </c>
      <c r="C8" s="5" t="inlineStr">
        <is>
          <t>Sistema de origem dos dados de consultoria</t>
        </is>
      </c>
    </row>
    <row r="9" ht="20" customHeight="1">
      <c r="A9" s="3" t="inlineStr">
        <is>
          <t>HS Vendidas base (Consultoria)</t>
        </is>
      </c>
      <c r="B9" s="4" t="n">
        <v>781</v>
      </c>
      <c r="C9" s="5" t="inlineStr">
        <is>
          <t>Total de horas contratadas no mês — denominador da taxa</t>
        </is>
      </c>
    </row>
    <row r="10" ht="20" customHeight="1">
      <c r="A10" s="3" t="inlineStr">
        <is>
          <t>Meta consultoria (%)</t>
        </is>
      </c>
      <c r="B10" s="4" t="n">
        <v>52.5</v>
      </c>
      <c r="C10" s="5" t="inlineStr">
        <is>
          <t>Meta de utilização para o mês (%)</t>
        </is>
      </c>
    </row>
    <row r="11" ht="20" customHeight="1">
      <c r="A11" s="3" t="inlineStr">
        <is>
          <t>Meta projetos (dias)</t>
        </is>
      </c>
      <c r="B11" s="4" t="n">
        <v>39.6</v>
      </c>
      <c r="C11" s="5" t="inlineStr">
        <is>
          <t>Meta de prazo médio de implementação para o mês</t>
        </is>
      </c>
    </row>
  </sheetData>
  <mergeCells count="2">
    <mergeCell ref="A1:D1"/>
    <mergeCell ref="A2:D2"/>
  </mergeCells>
  <dataValidations count="1">
    <dataValidation sqref="B4" showDropDown="0" showInputMessage="0" showErrorMessage="1" allowBlank="0" errorTitle="Mês inválido" error="Use a abreviação: Jan Fev Mar ..." type="list">
      <formula1>"Jan,Fev,Mar,Abr,Mai,Jun,Jul,Ago,Set,Out,Nov,Dez"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18" customWidth="1" min="3" max="3"/>
    <col width="12" customWidth="1" min="4" max="4"/>
    <col width="8" customWidth="1" min="5" max="5"/>
    <col width="10" customWidth="1" min="6" max="6"/>
  </cols>
  <sheetData>
    <row r="1" ht="28" customHeight="1">
      <c r="A1" s="6" t="inlineStr">
        <is>
          <t>PROJETOS ENCERRADOS NO MÊS</t>
        </is>
      </c>
    </row>
    <row r="2" ht="16" customHeight="1">
      <c r="A2" s="7" t="inlineStr">
        <is>
          <t>Liste todos os projetos CPJ-3C encerrados (go live) no mês. Tipo: JORNADA ou UPGRADE. Status: ok / warn / bad.</t>
        </is>
      </c>
    </row>
    <row r="3" ht="30" customHeight="1">
      <c r="A3" s="8" t="inlineStr">
        <is>
          <t>Cliente</t>
        </is>
      </c>
      <c r="B3" s="8" t="inlineStr">
        <is>
          <t>Responsável</t>
        </is>
      </c>
      <c r="C3" s="8" t="inlineStr">
        <is>
          <t>Data Encerramento
(dd/mm/aaaa)</t>
        </is>
      </c>
      <c r="D3" s="8" t="inlineStr">
        <is>
          <t>Tipo</t>
        </is>
      </c>
      <c r="E3" s="8" t="inlineStr">
        <is>
          <t>Dias</t>
        </is>
      </c>
      <c r="F3" s="8" t="inlineStr">
        <is>
          <t>Status</t>
        </is>
      </c>
    </row>
    <row r="4" ht="18" customHeight="1">
      <c r="A4" s="4" t="n"/>
      <c r="B4" s="4" t="n"/>
      <c r="C4" s="9" t="n"/>
      <c r="D4" s="4" t="n"/>
      <c r="E4" s="10" t="n"/>
      <c r="F4" s="4" t="n"/>
    </row>
    <row r="5" ht="18" customHeight="1">
      <c r="A5" s="4" t="n"/>
      <c r="B5" s="4" t="n"/>
      <c r="C5" s="9" t="n"/>
      <c r="D5" s="4" t="n"/>
      <c r="E5" s="10" t="n"/>
      <c r="F5" s="4" t="n"/>
    </row>
    <row r="6" ht="18" customHeight="1">
      <c r="A6" s="4" t="n"/>
      <c r="B6" s="4" t="n"/>
      <c r="C6" s="9" t="n"/>
      <c r="D6" s="4" t="n"/>
      <c r="E6" s="10" t="n"/>
      <c r="F6" s="4" t="n"/>
    </row>
    <row r="7" ht="18" customHeight="1">
      <c r="A7" s="4" t="n"/>
      <c r="B7" s="4" t="n"/>
      <c r="C7" s="9" t="n"/>
      <c r="D7" s="4" t="n"/>
      <c r="E7" s="10" t="n"/>
      <c r="F7" s="4" t="n"/>
    </row>
    <row r="8" ht="18" customHeight="1">
      <c r="A8" s="4" t="n"/>
      <c r="B8" s="4" t="n"/>
      <c r="C8" s="9" t="n"/>
      <c r="D8" s="4" t="n"/>
      <c r="E8" s="10" t="n"/>
      <c r="F8" s="4" t="n"/>
    </row>
    <row r="9" ht="18" customHeight="1">
      <c r="A9" s="4" t="n"/>
      <c r="B9" s="4" t="n"/>
      <c r="C9" s="9" t="n"/>
      <c r="D9" s="4" t="n"/>
      <c r="E9" s="10" t="n"/>
      <c r="F9" s="4" t="n"/>
    </row>
    <row r="10" ht="18" customHeight="1">
      <c r="A10" s="4" t="n"/>
      <c r="B10" s="4" t="n"/>
      <c r="C10" s="9" t="n"/>
      <c r="D10" s="4" t="n"/>
      <c r="E10" s="10" t="n"/>
      <c r="F10" s="4" t="n"/>
    </row>
    <row r="11" ht="18" customHeight="1">
      <c r="A11" s="4" t="n"/>
      <c r="B11" s="4" t="n"/>
      <c r="C11" s="9" t="n"/>
      <c r="D11" s="4" t="n"/>
      <c r="E11" s="10" t="n"/>
      <c r="F11" s="4" t="n"/>
    </row>
    <row r="12" ht="18" customHeight="1">
      <c r="A12" s="4" t="n"/>
      <c r="B12" s="4" t="n"/>
      <c r="C12" s="9" t="n"/>
      <c r="D12" s="4" t="n"/>
      <c r="E12" s="10" t="n"/>
      <c r="F12" s="4" t="n"/>
    </row>
    <row r="13" ht="18" customHeight="1">
      <c r="A13" s="4" t="n"/>
      <c r="B13" s="4" t="n"/>
      <c r="C13" s="9" t="n"/>
      <c r="D13" s="4" t="n"/>
      <c r="E13" s="10" t="n"/>
      <c r="F13" s="4" t="n"/>
    </row>
    <row r="14" ht="18" customHeight="1">
      <c r="A14" s="4" t="n"/>
      <c r="B14" s="4" t="n"/>
      <c r="C14" s="9" t="n"/>
      <c r="D14" s="4" t="n"/>
      <c r="E14" s="10" t="n"/>
      <c r="F14" s="4" t="n"/>
    </row>
    <row r="15" ht="18" customHeight="1">
      <c r="A15" s="4" t="n"/>
      <c r="B15" s="4" t="n"/>
      <c r="C15" s="9" t="n"/>
      <c r="D15" s="4" t="n"/>
      <c r="E15" s="10" t="n"/>
      <c r="F15" s="4" t="n"/>
    </row>
    <row r="16" ht="18" customHeight="1">
      <c r="A16" s="4" t="n"/>
      <c r="B16" s="4" t="n"/>
      <c r="C16" s="9" t="n"/>
      <c r="D16" s="4" t="n"/>
      <c r="E16" s="10" t="n"/>
      <c r="F16" s="4" t="n"/>
    </row>
    <row r="17" ht="18" customHeight="1">
      <c r="A17" s="4" t="n"/>
      <c r="B17" s="4" t="n"/>
      <c r="C17" s="9" t="n"/>
      <c r="D17" s="4" t="n"/>
      <c r="E17" s="10" t="n"/>
      <c r="F17" s="4" t="n"/>
    </row>
    <row r="18" ht="18" customHeight="1">
      <c r="A18" s="4" t="n"/>
      <c r="B18" s="4" t="n"/>
      <c r="C18" s="9" t="n"/>
      <c r="D18" s="4" t="n"/>
      <c r="E18" s="10" t="n"/>
      <c r="F18" s="4" t="n"/>
    </row>
    <row r="19" ht="18" customHeight="1">
      <c r="A19" s="4" t="n"/>
      <c r="B19" s="4" t="n"/>
      <c r="C19" s="9" t="n"/>
      <c r="D19" s="4" t="n"/>
      <c r="E19" s="10" t="n"/>
      <c r="F19" s="4" t="n"/>
    </row>
    <row r="20" ht="18" customHeight="1">
      <c r="A20" s="4" t="n"/>
      <c r="B20" s="4" t="n"/>
      <c r="C20" s="9" t="n"/>
      <c r="D20" s="4" t="n"/>
      <c r="E20" s="10" t="n"/>
      <c r="F20" s="4" t="n"/>
    </row>
    <row r="21" ht="18" customHeight="1">
      <c r="A21" s="4" t="n"/>
      <c r="B21" s="4" t="n"/>
      <c r="C21" s="9" t="n"/>
      <c r="D21" s="4" t="n"/>
      <c r="E21" s="10" t="n"/>
      <c r="F21" s="4" t="n"/>
    </row>
    <row r="22" ht="18" customHeight="1">
      <c r="A22" s="4" t="n"/>
      <c r="B22" s="4" t="n"/>
      <c r="C22" s="9" t="n"/>
      <c r="D22" s="4" t="n"/>
      <c r="E22" s="10" t="n"/>
      <c r="F22" s="4" t="n"/>
    </row>
    <row r="23" ht="18" customHeight="1">
      <c r="A23" s="4" t="n"/>
      <c r="B23" s="4" t="n"/>
      <c r="C23" s="9" t="n"/>
      <c r="D23" s="4" t="n"/>
      <c r="E23" s="10" t="n"/>
      <c r="F23" s="4" t="n"/>
    </row>
    <row r="25" ht="20" customHeight="1">
      <c r="A25" s="11" t="inlineStr">
        <is>
          <t>RESUMO (calculado automaticamente)</t>
        </is>
      </c>
    </row>
    <row r="26" ht="18" customHeight="1">
      <c r="A26" s="3" t="inlineStr">
        <is>
          <t>Total projetos</t>
        </is>
      </c>
      <c r="B26" s="12">
        <f>COUNTA(A4:A23)</f>
        <v/>
      </c>
    </row>
    <row r="27" ht="18" customHeight="1">
      <c r="A27" s="3" t="inlineStr">
        <is>
          <t>Projetos JORNADA</t>
        </is>
      </c>
      <c r="B27" s="12">
        <f>COUNTIF(D4:D23,"JORNADA")</f>
        <v/>
      </c>
    </row>
    <row r="28" ht="18" customHeight="1">
      <c r="A28" s="3" t="inlineStr">
        <is>
          <t>Projetos UPGRADE</t>
        </is>
      </c>
      <c r="B28" s="12">
        <f>COUNTIF(D4:D23,"UPGRADE")</f>
        <v/>
      </c>
    </row>
    <row r="29" ht="18" customHeight="1">
      <c r="A29" s="3" t="inlineStr">
        <is>
          <t>Média geral (dias)</t>
        </is>
      </c>
      <c r="B29" s="12">
        <f>IFERROR(AVERAGEIF(E4:E23,"&gt;"&amp;0,E4:E23),0)</f>
        <v/>
      </c>
    </row>
    <row r="30" ht="18" customHeight="1">
      <c r="A30" s="3" t="inlineStr">
        <is>
          <t>Média JORNADA</t>
        </is>
      </c>
      <c r="B30" s="12">
        <f>IFERROR(AVERAGEIFS(E4:E23,D4:D23,"JORNADA"),0)</f>
        <v/>
      </c>
    </row>
    <row r="31" ht="18" customHeight="1">
      <c r="A31" s="3" t="inlineStr">
        <is>
          <t>Média UPGRADE</t>
        </is>
      </c>
      <c r="B31" s="12">
        <f>IFERROR(AVERAGEIFS(E4:E23,D4:D23,"UPGRADE"),0)</f>
        <v/>
      </c>
    </row>
  </sheetData>
  <mergeCells count="3">
    <mergeCell ref="A25:B25"/>
    <mergeCell ref="A2:F2"/>
    <mergeCell ref="A1:F1"/>
  </mergeCells>
  <dataValidations count="2">
    <dataValidation sqref="D4 D5 D6 D7 D8 D9 D10 D11 D12 D13 D14 D15 D16 D17 D18 D19 D20 D21 D22 D23" showDropDown="0" showInputMessage="0" showErrorMessage="0" allowBlank="1" type="list">
      <formula1>"JORNADA,UPGRADE"</formula1>
    </dataValidation>
    <dataValidation sqref="F4 F5 F6 F7 F8 F9 F10 F11 F12 F13 F14 F15 F16 F17 F18 F19 F20 F21 F22 F23" showDropDown="0" showInputMessage="0" showErrorMessage="0" allowBlank="1" type="list">
      <formula1>"ok,warn,bad"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40" customWidth="1" min="4" max="4"/>
  </cols>
  <sheetData>
    <row r="1" ht="28" customHeight="1">
      <c r="A1" s="6" t="inlineStr">
        <is>
          <t>HORAS DO TIME NO MÊS</t>
        </is>
      </c>
    </row>
    <row r="2">
      <c r="A2" s="13" t="inlineStr">
        <is>
          <t>Capacidade referência (h/mês por pessoa):</t>
        </is>
      </c>
      <c r="B2" s="14" t="n">
        <v>128</v>
      </c>
      <c r="C2" s="15" t="inlineStr">
        <is>
          <t>80% do contratado · ajuste se necessário</t>
        </is>
      </c>
    </row>
    <row r="3" ht="28" customHeight="1">
      <c r="A3" s="8" t="inlineStr">
        <is>
          <t>Colaborador</t>
        </is>
      </c>
      <c r="B3" s="8" t="inlineStr">
        <is>
          <t>Horas no mês</t>
        </is>
      </c>
      <c r="C3" s="8" t="inlineStr">
        <is>
          <t>% do total</t>
        </is>
      </c>
      <c r="D3" s="8" t="inlineStr">
        <is>
          <t>Observação (férias, afastamento...)</t>
        </is>
      </c>
    </row>
    <row r="4" ht="18" customHeight="1">
      <c r="A4" s="4" t="n"/>
      <c r="B4" s="16" t="n"/>
      <c r="C4" s="17">
        <f>IFERROR(B4/SUM($B$4:$B$18),"")</f>
        <v/>
      </c>
      <c r="D4" s="4" t="n"/>
    </row>
    <row r="5" ht="18" customHeight="1">
      <c r="A5" s="4" t="n"/>
      <c r="B5" s="16" t="n"/>
      <c r="C5" s="17">
        <f>IFERROR(B5/SUM($B$4:$B$18),"")</f>
        <v/>
      </c>
      <c r="D5" s="4" t="n"/>
    </row>
    <row r="6" ht="18" customHeight="1">
      <c r="A6" s="4" t="n"/>
      <c r="B6" s="16" t="n"/>
      <c r="C6" s="17">
        <f>IFERROR(B6/SUM($B$4:$B$18),"")</f>
        <v/>
      </c>
      <c r="D6" s="4" t="n"/>
    </row>
    <row r="7" ht="18" customHeight="1">
      <c r="A7" s="4" t="n"/>
      <c r="B7" s="16" t="n"/>
      <c r="C7" s="17">
        <f>IFERROR(B7/SUM($B$4:$B$18),"")</f>
        <v/>
      </c>
      <c r="D7" s="4" t="n"/>
    </row>
    <row r="8" ht="18" customHeight="1">
      <c r="A8" s="4" t="n"/>
      <c r="B8" s="16" t="n"/>
      <c r="C8" s="17">
        <f>IFERROR(B8/SUM($B$4:$B$18),"")</f>
        <v/>
      </c>
      <c r="D8" s="4" t="n"/>
    </row>
    <row r="9" ht="18" customHeight="1">
      <c r="A9" s="4" t="n"/>
      <c r="B9" s="16" t="n"/>
      <c r="C9" s="17">
        <f>IFERROR(B9/SUM($B$4:$B$18),"")</f>
        <v/>
      </c>
      <c r="D9" s="4" t="n"/>
    </row>
    <row r="10" ht="18" customHeight="1">
      <c r="A10" s="4" t="n"/>
      <c r="B10" s="16" t="n"/>
      <c r="C10" s="17">
        <f>IFERROR(B10/SUM($B$4:$B$18),"")</f>
        <v/>
      </c>
      <c r="D10" s="4" t="n"/>
    </row>
    <row r="11" ht="18" customHeight="1">
      <c r="A11" s="4" t="n"/>
      <c r="B11" s="16" t="n"/>
      <c r="C11" s="17">
        <f>IFERROR(B11/SUM($B$4:$B$18),"")</f>
        <v/>
      </c>
      <c r="D11" s="4" t="n"/>
    </row>
    <row r="12" ht="18" customHeight="1">
      <c r="A12" s="4" t="n"/>
      <c r="B12" s="16" t="n"/>
      <c r="C12" s="17">
        <f>IFERROR(B12/SUM($B$4:$B$18),"")</f>
        <v/>
      </c>
      <c r="D12" s="4" t="n"/>
    </row>
    <row r="13" ht="18" customHeight="1">
      <c r="A13" s="4" t="n"/>
      <c r="B13" s="16" t="n"/>
      <c r="C13" s="17">
        <f>IFERROR(B13/SUM($B$4:$B$18),"")</f>
        <v/>
      </c>
      <c r="D13" s="4" t="n"/>
    </row>
    <row r="14" ht="18" customHeight="1">
      <c r="A14" s="4" t="n"/>
      <c r="B14" s="16" t="n"/>
      <c r="C14" s="17">
        <f>IFERROR(B14/SUM($B$4:$B$18),"")</f>
        <v/>
      </c>
      <c r="D14" s="4" t="n"/>
    </row>
    <row r="15" ht="18" customHeight="1">
      <c r="A15" s="4" t="n"/>
      <c r="B15" s="16" t="n"/>
      <c r="C15" s="17">
        <f>IFERROR(B15/SUM($B$4:$B$18),"")</f>
        <v/>
      </c>
      <c r="D15" s="4" t="n"/>
    </row>
    <row r="16" ht="18" customHeight="1">
      <c r="A16" s="4" t="n"/>
      <c r="B16" s="16" t="n"/>
      <c r="C16" s="17">
        <f>IFERROR(B16/SUM($B$4:$B$18),"")</f>
        <v/>
      </c>
      <c r="D16" s="4" t="n"/>
    </row>
    <row r="17" ht="18" customHeight="1">
      <c r="A17" s="4" t="n"/>
      <c r="B17" s="16" t="n"/>
      <c r="C17" s="17">
        <f>IFERROR(B17/SUM($B$4:$B$18),"")</f>
        <v/>
      </c>
      <c r="D17" s="4" t="n"/>
    </row>
    <row r="18" ht="18" customHeight="1">
      <c r="A18" s="4" t="n"/>
      <c r="B18" s="16" t="n"/>
      <c r="C18" s="17">
        <f>IFERROR(B18/SUM($B$4:$B$18),"")</f>
        <v/>
      </c>
      <c r="D18" s="4" t="n"/>
    </row>
    <row r="19" ht="20" customHeight="1">
      <c r="A19" s="18" t="inlineStr">
        <is>
          <t>TOTAL</t>
        </is>
      </c>
      <c r="B19" s="19">
        <f>SUM(B4:B18)</f>
        <v/>
      </c>
      <c r="C19" s="20" t="n">
        <v>1</v>
      </c>
      <c r="D19" s="21" t="n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0" customWidth="1" min="3" max="3"/>
    <col width="28" customWidth="1" min="4" max="4"/>
    <col width="10" customWidth="1" min="5" max="5"/>
  </cols>
  <sheetData>
    <row r="1" ht="28" customHeight="1">
      <c r="A1" s="6" t="inlineStr">
        <is>
          <t>CONSULTORIA — UTILIZAÇÃO DE HORAS NO MÊS</t>
        </is>
      </c>
    </row>
    <row r="2" ht="16" customHeight="1">
      <c r="A2" s="7" t="inlineStr">
        <is>
          <t>Liste todos os clientes com horas executadas. Clientes com 0h no mês: preencha na seção abaixo.</t>
        </is>
      </c>
    </row>
    <row r="3" ht="28" customHeight="1">
      <c r="A3" s="8" t="inlineStr">
        <is>
          <t>Cliente</t>
        </is>
      </c>
      <c r="B3" s="8" t="inlineStr">
        <is>
          <t>HS Executadas</t>
        </is>
      </c>
      <c r="C3" s="8" t="inlineStr">
        <is>
          <t>Taxa Utilização (%)</t>
        </is>
      </c>
      <c r="D3" s="8" t="inlineStr">
        <is>
          <t>Consultor Responsável</t>
        </is>
      </c>
      <c r="E3" s="8" t="inlineStr">
        <is>
          <t>Status</t>
        </is>
      </c>
    </row>
    <row r="4" ht="18" customHeight="1">
      <c r="A4" s="4" t="n"/>
      <c r="B4" s="16" t="n"/>
      <c r="C4" s="16" t="n"/>
      <c r="D4" s="4" t="n"/>
      <c r="E4" s="21" t="n"/>
    </row>
    <row r="5" ht="18" customHeight="1">
      <c r="A5" s="4" t="n"/>
      <c r="B5" s="16" t="n"/>
      <c r="C5" s="16" t="n"/>
      <c r="D5" s="4" t="n"/>
      <c r="E5" s="21" t="n"/>
    </row>
    <row r="6" ht="18" customHeight="1">
      <c r="A6" s="4" t="n"/>
      <c r="B6" s="16" t="n"/>
      <c r="C6" s="16" t="n"/>
      <c r="D6" s="4" t="n"/>
      <c r="E6" s="21" t="n"/>
    </row>
    <row r="7" ht="18" customHeight="1">
      <c r="A7" s="4" t="n"/>
      <c r="B7" s="16" t="n"/>
      <c r="C7" s="16" t="n"/>
      <c r="D7" s="4" t="n"/>
      <c r="E7" s="21" t="n"/>
    </row>
    <row r="8" ht="18" customHeight="1">
      <c r="A8" s="4" t="n"/>
      <c r="B8" s="16" t="n"/>
      <c r="C8" s="16" t="n"/>
      <c r="D8" s="4" t="n"/>
      <c r="E8" s="21" t="n"/>
    </row>
    <row r="9" ht="18" customHeight="1">
      <c r="A9" s="4" t="n"/>
      <c r="B9" s="16" t="n"/>
      <c r="C9" s="16" t="n"/>
      <c r="D9" s="4" t="n"/>
      <c r="E9" s="21" t="n"/>
    </row>
    <row r="10" ht="18" customHeight="1">
      <c r="A10" s="4" t="n"/>
      <c r="B10" s="16" t="n"/>
      <c r="C10" s="16" t="n"/>
      <c r="D10" s="4" t="n"/>
      <c r="E10" s="21" t="n"/>
    </row>
    <row r="11" ht="18" customHeight="1">
      <c r="A11" s="4" t="n"/>
      <c r="B11" s="16" t="n"/>
      <c r="C11" s="16" t="n"/>
      <c r="D11" s="4" t="n"/>
      <c r="E11" s="21" t="n"/>
    </row>
    <row r="12" ht="18" customHeight="1">
      <c r="A12" s="4" t="n"/>
      <c r="B12" s="16" t="n"/>
      <c r="C12" s="16" t="n"/>
      <c r="D12" s="4" t="n"/>
      <c r="E12" s="21" t="n"/>
    </row>
    <row r="13" ht="18" customHeight="1">
      <c r="A13" s="4" t="n"/>
      <c r="B13" s="16" t="n"/>
      <c r="C13" s="16" t="n"/>
      <c r="D13" s="4" t="n"/>
      <c r="E13" s="21" t="n"/>
    </row>
    <row r="14" ht="18" customHeight="1">
      <c r="A14" s="4" t="n"/>
      <c r="B14" s="16" t="n"/>
      <c r="C14" s="16" t="n"/>
      <c r="D14" s="4" t="n"/>
      <c r="E14" s="21" t="n"/>
    </row>
    <row r="15" ht="18" customHeight="1">
      <c r="A15" s="4" t="n"/>
      <c r="B15" s="16" t="n"/>
      <c r="C15" s="16" t="n"/>
      <c r="D15" s="4" t="n"/>
      <c r="E15" s="21" t="n"/>
    </row>
    <row r="16" ht="18" customHeight="1">
      <c r="A16" s="4" t="n"/>
      <c r="B16" s="16" t="n"/>
      <c r="C16" s="16" t="n"/>
      <c r="D16" s="4" t="n"/>
      <c r="E16" s="21" t="n"/>
    </row>
    <row r="17" ht="18" customHeight="1">
      <c r="A17" s="4" t="n"/>
      <c r="B17" s="16" t="n"/>
      <c r="C17" s="16" t="n"/>
      <c r="D17" s="4" t="n"/>
      <c r="E17" s="21" t="n"/>
    </row>
    <row r="18" ht="18" customHeight="1">
      <c r="A18" s="4" t="n"/>
      <c r="B18" s="16" t="n"/>
      <c r="C18" s="16" t="n"/>
      <c r="D18" s="4" t="n"/>
      <c r="E18" s="21" t="n"/>
    </row>
    <row r="19" ht="18" customHeight="1">
      <c r="A19" s="4" t="n"/>
      <c r="B19" s="16" t="n"/>
      <c r="C19" s="16" t="n"/>
      <c r="D19" s="4" t="n"/>
      <c r="E19" s="21" t="n"/>
    </row>
    <row r="20" ht="18" customHeight="1">
      <c r="A20" s="4" t="n"/>
      <c r="B20" s="16" t="n"/>
      <c r="C20" s="16" t="n"/>
      <c r="D20" s="4" t="n"/>
      <c r="E20" s="21" t="n"/>
    </row>
    <row r="21" ht="18" customHeight="1">
      <c r="A21" s="4" t="n"/>
      <c r="B21" s="16" t="n"/>
      <c r="C21" s="16" t="n"/>
      <c r="D21" s="4" t="n"/>
      <c r="E21" s="21" t="n"/>
    </row>
    <row r="22" ht="18" customHeight="1">
      <c r="A22" s="4" t="n"/>
      <c r="B22" s="16" t="n"/>
      <c r="C22" s="16" t="n"/>
      <c r="D22" s="4" t="n"/>
      <c r="E22" s="21" t="n"/>
    </row>
    <row r="23" ht="18" customHeight="1">
      <c r="A23" s="4" t="n"/>
      <c r="B23" s="16" t="n"/>
      <c r="C23" s="16" t="n"/>
      <c r="D23" s="4" t="n"/>
      <c r="E23" s="21" t="n"/>
    </row>
    <row r="24" ht="18" customHeight="1">
      <c r="A24" s="4" t="n"/>
      <c r="B24" s="16" t="n"/>
      <c r="C24" s="16" t="n"/>
      <c r="D24" s="4" t="n"/>
      <c r="E24" s="21" t="n"/>
    </row>
    <row r="25" ht="18" customHeight="1">
      <c r="A25" s="4" t="n"/>
      <c r="B25" s="16" t="n"/>
      <c r="C25" s="16" t="n"/>
      <c r="D25" s="4" t="n"/>
      <c r="E25" s="21" t="n"/>
    </row>
    <row r="26" ht="18" customHeight="1">
      <c r="A26" s="4" t="n"/>
      <c r="B26" s="16" t="n"/>
      <c r="C26" s="16" t="n"/>
      <c r="D26" s="4" t="n"/>
      <c r="E26" s="21" t="n"/>
    </row>
    <row r="27" ht="18" customHeight="1">
      <c r="A27" s="4" t="n"/>
      <c r="B27" s="16" t="n"/>
      <c r="C27" s="16" t="n"/>
      <c r="D27" s="4" t="n"/>
      <c r="E27" s="21" t="n"/>
    </row>
    <row r="28" ht="18" customHeight="1">
      <c r="A28" s="4" t="n"/>
      <c r="B28" s="16" t="n"/>
      <c r="C28" s="16" t="n"/>
      <c r="D28" s="4" t="n"/>
      <c r="E28" s="21" t="n"/>
    </row>
    <row r="29" ht="18" customHeight="1">
      <c r="A29" s="4" t="n"/>
      <c r="B29" s="16" t="n"/>
      <c r="C29" s="16" t="n"/>
      <c r="D29" s="4" t="n"/>
      <c r="E29" s="21" t="n"/>
    </row>
    <row r="30" ht="18" customHeight="1">
      <c r="A30" s="4" t="n"/>
      <c r="B30" s="16" t="n"/>
      <c r="C30" s="16" t="n"/>
      <c r="D30" s="4" t="n"/>
      <c r="E30" s="21" t="n"/>
    </row>
    <row r="31" ht="18" customHeight="1">
      <c r="A31" s="4" t="n"/>
      <c r="B31" s="16" t="n"/>
      <c r="C31" s="16" t="n"/>
      <c r="D31" s="4" t="n"/>
      <c r="E31" s="21" t="n"/>
    </row>
    <row r="32" ht="18" customHeight="1">
      <c r="A32" s="4" t="n"/>
      <c r="B32" s="16" t="n"/>
      <c r="C32" s="16" t="n"/>
      <c r="D32" s="4" t="n"/>
      <c r="E32" s="21" t="n"/>
    </row>
    <row r="33" ht="18" customHeight="1">
      <c r="A33" s="4" t="n"/>
      <c r="B33" s="16" t="n"/>
      <c r="C33" s="16" t="n"/>
      <c r="D33" s="4" t="n"/>
      <c r="E33" s="21" t="n"/>
    </row>
    <row r="35" ht="22" customHeight="1">
      <c r="A35" s="22" t="inlineStr">
        <is>
          <t>CLIENTES COM 0 HORAS UTILIZADAS NO MÊS</t>
        </is>
      </c>
    </row>
    <row r="36" ht="22" customHeight="1">
      <c r="A36" s="23" t="inlineStr">
        <is>
          <t>Cliente</t>
        </is>
      </c>
      <c r="B36" s="23" t="inlineStr">
        <is>
          <t>HS Contratadas (pacote)</t>
        </is>
      </c>
      <c r="C36" s="23" t="inlineStr">
        <is>
          <t>Consultor Responsável</t>
        </is>
      </c>
      <c r="D36" s="24" t="inlineStr"/>
      <c r="E36" s="24" t="inlineStr"/>
    </row>
    <row r="37" ht="18" customHeight="1">
      <c r="A37" s="4" t="n"/>
      <c r="B37" s="25" t="n"/>
      <c r="C37" s="4" t="n"/>
    </row>
    <row r="38" ht="18" customHeight="1">
      <c r="A38" s="4" t="n"/>
      <c r="B38" s="25" t="n"/>
      <c r="C38" s="4" t="n"/>
    </row>
    <row r="39" ht="18" customHeight="1">
      <c r="A39" s="4" t="n"/>
      <c r="B39" s="25" t="n"/>
      <c r="C39" s="4" t="n"/>
    </row>
    <row r="40" ht="18" customHeight="1">
      <c r="A40" s="4" t="n"/>
      <c r="B40" s="25" t="n"/>
      <c r="C40" s="4" t="n"/>
    </row>
    <row r="41" ht="18" customHeight="1">
      <c r="A41" s="4" t="n"/>
      <c r="B41" s="25" t="n"/>
      <c r="C41" s="4" t="n"/>
    </row>
    <row r="42" ht="18" customHeight="1">
      <c r="A42" s="4" t="n"/>
      <c r="B42" s="25" t="n"/>
      <c r="C42" s="4" t="n"/>
    </row>
    <row r="43" ht="18" customHeight="1">
      <c r="A43" s="4" t="n"/>
      <c r="B43" s="25" t="n"/>
      <c r="C43" s="4" t="n"/>
    </row>
    <row r="44" ht="18" customHeight="1">
      <c r="A44" s="4" t="n"/>
      <c r="B44" s="25" t="n"/>
      <c r="C44" s="4" t="n"/>
    </row>
    <row r="45" ht="18" customHeight="1">
      <c r="A45" s="4" t="n"/>
      <c r="B45" s="25" t="n"/>
      <c r="C45" s="4" t="n"/>
    </row>
    <row r="46" ht="18" customHeight="1">
      <c r="A46" s="4" t="n"/>
      <c r="B46" s="25" t="n"/>
      <c r="C46" s="4" t="n"/>
    </row>
    <row r="48" ht="20" customHeight="1">
      <c r="A48" s="11" t="inlineStr">
        <is>
          <t>RESUMO (calculado automaticamente)</t>
        </is>
      </c>
    </row>
    <row r="49" ht="18" customHeight="1">
      <c r="A49" s="3" t="inlineStr">
        <is>
          <t>Total HS Executadas</t>
        </is>
      </c>
      <c r="B49" s="26">
        <f>SUM(B4:B33)</f>
        <v/>
      </c>
    </row>
    <row r="50" ht="18" customHeight="1">
      <c r="A50" s="3" t="inlineStr">
        <is>
          <t>Clientes com execução</t>
        </is>
      </c>
      <c r="B50" s="27">
        <f>COUNTIF(B4:B33,"&gt;"&amp;0)</f>
        <v/>
      </c>
    </row>
    <row r="51" ht="18" customHeight="1">
      <c r="A51" s="3" t="inlineStr">
        <is>
          <t>Clientes ≥80% utilização</t>
        </is>
      </c>
      <c r="B51" s="27">
        <f>COUNTIFS(C4:C33,"&gt;="&amp;80,C4:C33,"&lt;&gt;"&amp;"")</f>
        <v/>
      </c>
    </row>
    <row r="52" ht="18" customHeight="1">
      <c r="A52" s="3" t="inlineStr">
        <is>
          <t>% clientes ≥80%</t>
        </is>
      </c>
      <c r="B52" s="17">
        <f>IFERROR(COUNTIFS(C4:C33,"&gt;="&amp;80)/COUNTIF(B4:B33,"&gt;"&amp;0),0)</f>
        <v/>
      </c>
    </row>
    <row r="53" ht="18" customHeight="1">
      <c r="A53" s="3" t="inlineStr">
        <is>
          <t>Clientes 0h (seção abaixo)</t>
        </is>
      </c>
      <c r="B53" s="27">
        <f>COUNTA(A37:A46)</f>
        <v/>
      </c>
    </row>
  </sheetData>
  <mergeCells count="4">
    <mergeCell ref="A2:E2"/>
    <mergeCell ref="A48:B48"/>
    <mergeCell ref="A1:E1"/>
    <mergeCell ref="A35:E35"/>
  </mergeCells>
  <dataValidations count="1">
    <dataValidation sqref="E4 E5 E6 E7 E8 E9 E10 E11 E12 E13 E14 E15 E16 E17 E18 E19 E20 E21 E22 E23 E24 E25 E26 E27 E28 E29 E30 E31 E32 E33" showDropDown="0" showInputMessage="0" showErrorMessage="0" allowBlank="1" type="list">
      <formula1>"ok,warn,bad,info"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2026-06-09T14:59:16Z</dcterms:created>
  <dcterms:modified xmlns:dcterms="http://purl.org/dc/terms/" xmlns:xsi="http://www.w3.org/2001/XMLSchema-instance" xsi:type="dcterms:W3CDTF">2026-06-09T14:59:16Z</dcterms:modified>
</cp:coreProperties>
</file>